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diagnó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;-0.0;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1F4E79"/>
      <sz val="13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6" customWidth="1" min="5" max="5"/>
    <col width="14" customWidth="1" min="6" max="6"/>
    <col width="20" customWidth="1" min="7" max="7"/>
  </cols>
  <sheetData>
    <row r="1">
      <c r="A1" s="1" t="inlineStr">
        <is>
          <t>📊 Autodiagnóstico — Onde Estou com Dados?</t>
        </is>
      </c>
    </row>
    <row r="2">
      <c r="A2" s="2" t="inlineStr">
        <is>
          <t>Preencha com sua nota de 1 (nunca fiz) a 5 (faço com confiança). Compare Início vs Final do semestre.</t>
        </is>
      </c>
    </row>
    <row r="4" ht="35" customHeight="1">
      <c r="A4" s="3" t="inlineStr">
        <is>
          <t>#</t>
        </is>
      </c>
      <c r="B4" s="3" t="inlineStr">
        <is>
          <t>Habilidade</t>
        </is>
      </c>
      <c r="C4" s="3" t="inlineStr">
        <is>
          <t>Início do
Semestre (1-5)</t>
        </is>
      </c>
      <c r="D4" s="3" t="inlineStr">
        <is>
          <t>Final do
Semestre (1-5)</t>
        </is>
      </c>
      <c r="E4" s="3" t="inlineStr">
        <is>
          <t>Evolução
(Final - Início)</t>
        </is>
      </c>
      <c r="F4" s="3" t="inlineStr">
        <is>
          <t>Nível</t>
        </is>
      </c>
      <c r="G4" s="3" t="inlineStr">
        <is>
          <t>Interpretação</t>
        </is>
      </c>
    </row>
    <row r="5">
      <c r="A5" s="4" t="n">
        <v>1</v>
      </c>
      <c r="B5" s="5" t="inlineStr">
        <is>
          <t>Abrir e explorar um CSV no Excel</t>
        </is>
      </c>
      <c r="C5" s="4" t="n"/>
      <c r="D5" s="4" t="n"/>
      <c r="E5" s="6">
        <f>IF(AND(C5&lt;&gt;"",D5&lt;&gt;""),D5-C5,"")</f>
        <v/>
      </c>
      <c r="F5" s="4">
        <f>IF(C5="","",IF(C5&lt;=2,"Iniciante",IF(C5&lt;=3,"Intermediário","Avançado")))</f>
        <v/>
      </c>
      <c r="G5" s="7">
        <f>IF(E5="","",IF(E5&gt;=3,"Grande evolução!",IF(E5&gt;=1,"Evolução positiva",IF(E5=0,"Sem mudança","Revisar"))))</f>
        <v/>
      </c>
    </row>
    <row r="6">
      <c r="A6" s="8" t="n">
        <v>2</v>
      </c>
      <c r="B6" s="9" t="inlineStr">
        <is>
          <t>Criar um gráfico de barras</t>
        </is>
      </c>
      <c r="C6" s="8" t="n"/>
      <c r="D6" s="8" t="n"/>
      <c r="E6" s="10">
        <f>IF(AND(C6&lt;&gt;"",D6&lt;&gt;""),D6-C6,"")</f>
        <v/>
      </c>
      <c r="F6" s="8">
        <f>IF(C6="","",IF(C6&lt;=2,"Iniciante",IF(C6&lt;=3,"Intermediário","Avançado")))</f>
        <v/>
      </c>
      <c r="G6" s="11">
        <f>IF(E6="","",IF(E6&gt;=3,"Grande evolução!",IF(E6&gt;=1,"Evolução positiva",IF(E6=0,"Sem mudança","Revisar"))))</f>
        <v/>
      </c>
    </row>
    <row r="7">
      <c r="A7" s="4" t="n">
        <v>3</v>
      </c>
      <c r="B7" s="5" t="inlineStr">
        <is>
          <t>Filtrar dados por critérios</t>
        </is>
      </c>
      <c r="C7" s="4" t="n"/>
      <c r="D7" s="4" t="n"/>
      <c r="E7" s="6">
        <f>IF(AND(C7&lt;&gt;"",D7&lt;&gt;""),D7-C7,"")</f>
        <v/>
      </c>
      <c r="F7" s="4">
        <f>IF(C7="","",IF(C7&lt;=2,"Iniciante",IF(C7&lt;=3,"Intermediário","Avançado")))</f>
        <v/>
      </c>
      <c r="G7" s="7">
        <f>IF(E7="","",IF(E7&gt;=3,"Grande evolução!",IF(E7&gt;=1,"Evolução positiva",IF(E7=0,"Sem mudança","Revisar"))))</f>
        <v/>
      </c>
    </row>
    <row r="8">
      <c r="A8" s="8" t="n">
        <v>4</v>
      </c>
      <c r="B8" s="9" t="inlineStr">
        <is>
          <t>Interpretar uma média vs mediana</t>
        </is>
      </c>
      <c r="C8" s="8" t="n"/>
      <c r="D8" s="8" t="n"/>
      <c r="E8" s="10">
        <f>IF(AND(C8&lt;&gt;"",D8&lt;&gt;""),D8-C8,"")</f>
        <v/>
      </c>
      <c r="F8" s="8">
        <f>IF(C8="","",IF(C8&lt;=2,"Iniciante",IF(C8&lt;=3,"Intermediário","Avançado")))</f>
        <v/>
      </c>
      <c r="G8" s="11">
        <f>IF(E8="","",IF(E8&gt;=3,"Grande evolução!",IF(E8&gt;=1,"Evolução positiva",IF(E8=0,"Sem mudança","Revisar"))))</f>
        <v/>
      </c>
    </row>
    <row r="9">
      <c r="A9" s="4" t="n">
        <v>5</v>
      </c>
      <c r="B9" s="5" t="inlineStr">
        <is>
          <t>Identificar outliers</t>
        </is>
      </c>
      <c r="C9" s="4" t="n"/>
      <c r="D9" s="4" t="n"/>
      <c r="E9" s="6">
        <f>IF(AND(C9&lt;&gt;"",D9&lt;&gt;""),D9-C9,"")</f>
        <v/>
      </c>
      <c r="F9" s="4">
        <f>IF(C9="","",IF(C9&lt;=2,"Iniciante",IF(C9&lt;=3,"Intermediário","Avançado")))</f>
        <v/>
      </c>
      <c r="G9" s="7">
        <f>IF(E9="","",IF(E9&gt;=3,"Grande evolução!",IF(E9&gt;=1,"Evolução positiva",IF(E9=0,"Sem mudança","Revisar"))))</f>
        <v/>
      </c>
    </row>
    <row r="10">
      <c r="A10" s="8" t="n">
        <v>6</v>
      </c>
      <c r="B10" s="9" t="inlineStr">
        <is>
          <t>Criar uma tabela dinâmica</t>
        </is>
      </c>
      <c r="C10" s="8" t="n"/>
      <c r="D10" s="8" t="n"/>
      <c r="E10" s="10">
        <f>IF(AND(C10&lt;&gt;"",D10&lt;&gt;""),D10-C10,"")</f>
        <v/>
      </c>
      <c r="F10" s="8">
        <f>IF(C10="","",IF(C10&lt;=2,"Iniciante",IF(C10&lt;=3,"Intermediário","Avançado")))</f>
        <v/>
      </c>
      <c r="G10" s="11">
        <f>IF(E10="","",IF(E10&gt;=3,"Grande evolução!",IF(E10&gt;=1,"Evolução positiva",IF(E10=0,"Sem mudança","Revisar"))))</f>
        <v/>
      </c>
    </row>
    <row r="11">
      <c r="A11" s="4" t="n">
        <v>7</v>
      </c>
      <c r="B11" s="5" t="inlineStr">
        <is>
          <t>Usar PROCV/XLOOKUP</t>
        </is>
      </c>
      <c r="C11" s="4" t="n"/>
      <c r="D11" s="4" t="n"/>
      <c r="E11" s="6">
        <f>IF(AND(C11&lt;&gt;"",D11&lt;&gt;""),D11-C11,"")</f>
        <v/>
      </c>
      <c r="F11" s="4">
        <f>IF(C11="","",IF(C11&lt;=2,"Iniciante",IF(C11&lt;=3,"Intermediário","Avançado")))</f>
        <v/>
      </c>
      <c r="G11" s="7">
        <f>IF(E11="","",IF(E11&gt;=3,"Grande evolução!",IF(E11&gt;=1,"Evolução positiva",IF(E11=0,"Sem mudança","Revisar"))))</f>
        <v/>
      </c>
    </row>
    <row r="12">
      <c r="A12" s="8" t="n">
        <v>8</v>
      </c>
      <c r="B12" s="9" t="inlineStr">
        <is>
          <t>Montar um dashboard</t>
        </is>
      </c>
      <c r="C12" s="8" t="n"/>
      <c r="D12" s="8" t="n"/>
      <c r="E12" s="10">
        <f>IF(AND(C12&lt;&gt;"",D12&lt;&gt;""),D12-C12,"")</f>
        <v/>
      </c>
      <c r="F12" s="8">
        <f>IF(C12="","",IF(C12&lt;=2,"Iniciante",IF(C12&lt;=3,"Intermediário","Avançado")))</f>
        <v/>
      </c>
      <c r="G12" s="11">
        <f>IF(E12="","",IF(E12&gt;=3,"Grande evolução!",IF(E12&gt;=1,"Evolução positiva",IF(E12=0,"Sem mudança","Revisar"))))</f>
        <v/>
      </c>
    </row>
    <row r="13">
      <c r="A13" s="4" t="n">
        <v>9</v>
      </c>
      <c r="B13" s="5" t="inlineStr">
        <is>
          <t>Contar uma história com dados</t>
        </is>
      </c>
      <c r="C13" s="4" t="n"/>
      <c r="D13" s="4" t="n"/>
      <c r="E13" s="6">
        <f>IF(AND(C13&lt;&gt;"",D13&lt;&gt;""),D13-C13,"")</f>
        <v/>
      </c>
      <c r="F13" s="4">
        <f>IF(C13="","",IF(C13&lt;=2,"Iniciante",IF(C13&lt;=3,"Intermediário","Avançado")))</f>
        <v/>
      </c>
      <c r="G13" s="7">
        <f>IF(E13="","",IF(E13&gt;=3,"Grande evolução!",IF(E13&gt;=1,"Evolução positiva",IF(E13=0,"Sem mudança","Revisar"))))</f>
        <v/>
      </c>
    </row>
    <row r="14">
      <c r="A14" s="8" t="n">
        <v>10</v>
      </c>
      <c r="B14" s="9" t="inlineStr">
        <is>
          <t>Usar Power BI ou similar</t>
        </is>
      </c>
      <c r="C14" s="8" t="n"/>
      <c r="D14" s="8" t="n"/>
      <c r="E14" s="10">
        <f>IF(AND(C14&lt;&gt;"",D14&lt;&gt;""),D14-C14,"")</f>
        <v/>
      </c>
      <c r="F14" s="8">
        <f>IF(C14="","",IF(C14&lt;=2,"Iniciante",IF(C14&lt;=3,"Intermediário","Avançado")))</f>
        <v/>
      </c>
      <c r="G14" s="11">
        <f>IF(E14="","",IF(E14&gt;=3,"Grande evolução!",IF(E14&gt;=1,"Evolução positiva",IF(E14=0,"Sem mudança","Revisar"))))</f>
        <v/>
      </c>
    </row>
    <row r="16">
      <c r="A16" s="12" t="inlineStr">
        <is>
          <t>📈 Análise Resumida</t>
        </is>
      </c>
    </row>
    <row r="17">
      <c r="B17" s="13" t="inlineStr">
        <is>
          <t>Média — Início do Semestre:</t>
        </is>
      </c>
      <c r="C17" s="14">
        <f>IF(COUNT(C5:C14)&gt;0,AVERAGE(C5:C14),"Preencha as notas")</f>
        <v/>
      </c>
    </row>
    <row r="18">
      <c r="B18" s="13" t="inlineStr">
        <is>
          <t>Média — Final do Semestre:</t>
        </is>
      </c>
      <c r="C18" s="14">
        <f>IF(COUNT(D5:D14)&gt;0,AVERAGE(D5:D14),"Preencha as notas")</f>
        <v/>
      </c>
    </row>
    <row r="19">
      <c r="B19" s="13" t="inlineStr">
        <is>
          <t>Evolução Média:</t>
        </is>
      </c>
      <c r="C19" s="15">
        <f>IF(AND(COUNT(C5:C14)&gt;0,COUNT(D5:D14)&gt;0),AVERAGE(D5:D14)-AVERAGE(C5:C14),"—")</f>
        <v/>
      </c>
    </row>
    <row r="20">
      <c r="B20" s="13" t="inlineStr">
        <is>
          <t>Nota Máxima — Início:</t>
        </is>
      </c>
      <c r="C20" s="16">
        <f>IF(COUNT(C5:C14)&gt;0,MAX(C5:C14),"—")</f>
        <v/>
      </c>
    </row>
    <row r="21">
      <c r="B21" s="13" t="inlineStr">
        <is>
          <t>Nota Mínima — Início:</t>
        </is>
      </c>
      <c r="C21" s="16">
        <f>IF(COUNT(C5:C14)&gt;0,MIN(C5:C14),"—")</f>
        <v/>
      </c>
    </row>
    <row r="22">
      <c r="B22" s="13" t="inlineStr">
        <is>
          <t>Nota Máxima — Final:</t>
        </is>
      </c>
      <c r="C22" s="16">
        <f>IF(COUNT(D5:D14)&gt;0,MAX(D5:D14),"—")</f>
        <v/>
      </c>
    </row>
    <row r="23">
      <c r="B23" s="13" t="inlineStr">
        <is>
          <t>Nota Mínima — Final:</t>
        </is>
      </c>
      <c r="C23" s="16">
        <f>IF(COUNT(D5:D14)&gt;0,MIN(D5:D14),"—")</f>
        <v/>
      </c>
    </row>
    <row r="24">
      <c r="B24" s="13" t="inlineStr">
        <is>
          <t>Habilidades com Evolução ≥ 2:</t>
        </is>
      </c>
      <c r="C24" s="16">
        <f>COUNTIF(E5:E14,"&gt;="&amp;2)</f>
        <v/>
      </c>
    </row>
    <row r="25">
      <c r="B25" s="13" t="inlineStr">
        <is>
          <t>Habilidades sem Mudança:</t>
        </is>
      </c>
      <c r="C25" s="16">
        <f>COUNTIF(E5:E14,0)</f>
        <v/>
      </c>
    </row>
    <row r="26">
      <c r="B26" s="13" t="inlineStr">
        <is>
          <t>% de Preenchimento (Início):</t>
        </is>
      </c>
      <c r="C26" s="17">
        <f>IF(COUNT(C5:C14)&gt;0,COUNT(C5:C14)/10,"0%")</f>
        <v/>
      </c>
    </row>
    <row r="28">
      <c r="A28" s="18" t="inlineStr">
        <is>
          <t>💡 Dica: Preencha a coluna "Início do Semestre" na Aula 01 e a coluna "Final do Semestre" na Aula 18 para medir sua evolução.</t>
        </is>
      </c>
    </row>
  </sheetData>
  <mergeCells count="4">
    <mergeCell ref="A16:G16"/>
    <mergeCell ref="A2:G2"/>
    <mergeCell ref="A1:G1"/>
    <mergeCell ref="A28:G28"/>
  </mergeCells>
  <conditionalFormatting sqref="E5:E14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dataValidations count="1">
    <dataValidation sqref="C5 C6 C7 C8 C9 C10 C11 C12 C13 C14 D5 D6 D7 D8 D9 D10 D11 D12 D13 D14" showDropDown="0" showInputMessage="1" showErrorMessage="1" allowBlank="0" errorTitle="Valor inválido" error="Digite um número de 1 a 5." promptTitle="Nota de autoavaliação" prompt="1 = nunca fiz, 5 = faço com confiança" type="whole" errorStyle="stop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2026-03-25T12:54:39Z</dcterms:created>
  <dcterms:modified xmlns:dcterms="http://purl.org/dc/terms/" xmlns:xsi="http://www.w3.org/2001/XMLSchema-instance" xsi:type="dcterms:W3CDTF">2026-03-25T12:54:39Z</dcterms:modified>
</cp:coreProperties>
</file>